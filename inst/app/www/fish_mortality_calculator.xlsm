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2451\src\fish_mortality\laksetap\inst\app\www\"/>
    </mc:Choice>
  </mc:AlternateContent>
  <xr:revisionPtr revIDLastSave="0" documentId="13_ncr:1_{775C1FD6-0583-4A01-A114-CA8E3E0101A4}" xr6:coauthVersionLast="47" xr6:coauthVersionMax="47" xr10:uidLastSave="{00000000-0000-0000-0000-000000000000}"/>
  <bookViews>
    <workbookView xWindow="-90" yWindow="-90" windowWidth="19380" windowHeight="11460" tabRatio="500" xr2:uid="{00000000-000D-0000-FFFF-FFFF00000000}"/>
  </bookViews>
  <sheets>
    <sheet name="Mortality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F2" i="1" a="1"/>
  <c r="F2" i="1" s="1"/>
  <c r="E3" i="1"/>
  <c r="E4" i="1"/>
  <c r="E5" i="1"/>
  <c r="E6" i="1"/>
  <c r="E7" i="1"/>
  <c r="E8" i="1"/>
  <c r="F3" i="1" l="1" a="1"/>
  <c r="F3" i="1" s="1"/>
  <c r="F8" i="1" a="1"/>
  <c r="F8" i="1" s="1"/>
  <c r="F7" i="1" a="1"/>
  <c r="F7" i="1" s="1"/>
  <c r="F6" i="1" a="1"/>
  <c r="F6" i="1" s="1"/>
  <c r="F5" i="1" a="1"/>
  <c r="F5" i="1" s="1"/>
  <c r="F4" i="1" a="1"/>
  <c r="F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<sst xmlns="http://schemas.openxmlformats.org/spreadsheetml/2006/main" count="15" uniqueCount="15">
  <si>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Beginning Count</t>
  </si>
  <si>
    <t>End Count</t>
  </si>
  <si>
    <t>Dead Count</t>
  </si>
  <si>
    <t>Enter period values like 2025-01, 2025-02 in column A</t>
  </si>
  <si>
    <t>2025-01</t>
  </si>
  <si>
    <t>2025-02</t>
  </si>
  <si>
    <t>2025-04</t>
  </si>
  <si>
    <t>2025-05</t>
  </si>
  <si>
    <t>2025-06</t>
  </si>
  <si>
    <t>2025-03</t>
  </si>
  <si>
    <t>Display Period is per Month</t>
  </si>
  <si>
    <t>Mortality Risk per Month</t>
  </si>
  <si>
    <t>Month</t>
  </si>
  <si>
    <t>2025-07</t>
  </si>
  <si>
    <t>Cumulative Mortality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</si>
</sst>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14" formatCode="0.00%"/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MortalityData!$E$1</c:f>
          <c:strCache>
            <c:ptCount val="1"/>
            <c:pt idx="0">
              <c:v>Mortality Risk per Month</c:v>
            </c:pt>
          </c:strCache>
        </c:strRef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6092592592593"/>
          <c:y val="9.3749242883101144E-2"/>
          <c:w val="0.81475703703703706"/>
          <c:h val="0.73446059627161986"/>
        </c:manualLayout>
      </c:layout>
      <c:lineChart>
        <c:grouping val="standard"/>
        <c:varyColors val="0"/>
        <c:ser>
          <c:idx val="0"/>
          <c:order val="0"/>
          <c:tx>
            <c:strRef>
              <c:f>MortalityData!$E$1</c:f>
              <c:strCache>
                <c:ptCount val="1"/>
                <c:pt idx="0">
                  <c:v>Mortality Risk per Month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MortalityData!$A$2:$A$8</c:f>
              <c:strCache>
                <c:ptCount val="7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</c:strCache>
            </c:strRef>
          </c:cat>
          <c:val>
            <c:numRef>
              <c:f>MortalityData!$E$2:$E$8</c:f>
              <c:numCache>
                <c:formatCode>0.00%</c:formatCode>
                <c:ptCount val="7"/>
                <c:pt idx="0">
                  <c:v>4.9989318989731912E-2</c:v>
                </c:pt>
                <c:pt idx="1">
                  <c:v>4.9989318989731912E-2</c:v>
                </c:pt>
                <c:pt idx="2">
                  <c:v>4.9989318989731912E-2</c:v>
                </c:pt>
                <c:pt idx="3">
                  <c:v>4.9989318989731912E-2</c:v>
                </c:pt>
                <c:pt idx="4">
                  <c:v>4.9989318989731912E-2</c:v>
                </c:pt>
                <c:pt idx="5">
                  <c:v>4.9989318989731912E-2</c:v>
                </c:pt>
                <c:pt idx="6">
                  <c:v>4.9989318989731912E-2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7-4B7D-AA04-816B238D6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MortalityData!$F$1</c:f>
          <c:strCache>
            <c:ptCount val="1"/>
            <c:pt idx="0">
              <c:v>Cumulative Mortality Risk</c:v>
            </c:pt>
          </c:strCache>
        </c:strRef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305370370370376E-2"/>
          <c:y val="0.10635760028393877"/>
          <c:w val="0.86404234354426623"/>
          <c:h val="0.73856523321541701"/>
        </c:manualLayout>
      </c:layout>
      <c:lineChart>
        <c:grouping val="standard"/>
        <c:varyColors val="0"/>
        <c:ser>
          <c:idx val="0"/>
          <c:order val="0"/>
          <c:tx>
            <c:strRef>
              <c:f>MortalityData!$F$1</c:f>
              <c:strCache>
                <c:ptCount val="1"/>
                <c:pt idx="0">
                  <c:v>Cumulative Mortality Risk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MortalityData!$A$2:$A$8</c:f>
              <c:strCache>
                <c:ptCount val="7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</c:strCache>
            </c:strRef>
          </c:cat>
          <c:val>
            <c:numRef>
              <c:f>MortalityData!$F$2:$F$8</c:f>
              <c:numCache>
                <c:formatCode>0.00%</c:formatCode>
                <c:ptCount val="7"/>
                <c:pt idx="0">
                  <c:v>4.9989318989731912E-2</c:v>
                </c:pt>
                <c:pt idx="1">
                  <c:v>9.7479705966406649E-2</c:v>
                </c:pt>
                <c:pt idx="2">
                  <c:v>0.14259608083955855</c:v>
                </c:pt>
                <c:pt idx="3">
                  <c:v>0.18545711885751626</c:v>
                </c:pt>
                <c:pt idx="4">
                  <c:v>0.22617556277376316</c:v>
                </c:pt>
                <c:pt idx="5">
                  <c:v>0.26485851940831528</c:v>
                </c:pt>
                <c:pt idx="6">
                  <c:v>0.30160774138419677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9-4262-8D2E-C929B9D63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266700</xdr:colOff>
      <xdr:row>4</xdr:row>
      <xdr:rowOff>142876</xdr:rowOff>
    </xdr:from>
    <xdr:ext cx="5400000" cy="44577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11</xdr:col>
      <xdr:colOff>9525</xdr:colOff>
      <xdr:row>4</xdr:row>
      <xdr:rowOff>161926</xdr:rowOff>
    </xdr:from>
    <xdr:ext cx="5734050" cy="4429124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rtalityTable" displayName="MortalityTable" ref="A1:F8" headerRowCellStyle="Normal" dataCellStyle="Normal" totalsRowCellStyle="Normal">
  <autoFilter ref="A1:F8" xr:uid="{00000000-0009-0000-0100-000001000000}"/>
  <tableColumns count="6">
    <tableColumn id="1" xr3:uid="{00000000-0010-0000-0000-000001000000}" name="Month" dataCellStyle="Normal"/>
    <tableColumn id="2" xr3:uid="{00000000-0010-0000-0000-000002000000}" name="Beginning Count" dataCellStyle="Normal"/>
    <tableColumn id="3" xr3:uid="{00000000-0010-0000-0000-000003000000}" name="End Count" dataCellStyle="Normal"/>
    <tableColumn id="4" xr3:uid="{00000000-0010-0000-0000-000004000000}" name="Dead Count" dataCellStyle="Normal"/>
    <tableColumn id="5" xr3:uid="{00000000-0010-0000-0000-000005000000}" name="Mortality Risk per Month" dataDxfId="1" dataCellStyle="Normal">
      <calculatedColumnFormula>1-EXP(-(MortalityTable[[#This Row],[Dead Count]]/((MortalityTable[[#This Row],[Beginning Count]]+MortalityTable[[#This Row],[End Count]])/2)))</calculatedColumnFormula>
    </tableColumn>
    <tableColumn id="6" xr3:uid="{00000000-0010-0000-0000-000006000000}" name="Cumulative Mortality Risk" dataDxfId="0" dataCellStyle="Normal">
      <calculatedColumnFormula array="1">1-EXP(-SUMPRODUCT(-LN(1-INDEX(MortalityTable[Mortality Risk per Month],1):MortalityTable[[#This Row],[Mortality Risk per Month]])))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"/>
  <sheetViews>
    <sheetView tabSelected="1" workbookViewId="0">
      <selection activeCell="E20" sqref="E20"/>
    </sheetView>
  </sheetViews>
  <sheetFormatPr defaultRowHeight="14.75" x14ac:dyDescent="0.75"/>
  <cols>
    <col min="1" max="1" width="9.1328125" style="1" customWidth="1"/>
    <col min="2" max="6" width="9.1328125" customWidth="1"/>
    <col min="7" max="7" width="48.86328125" customWidth="1"/>
  </cols>
  <sheetData>
    <row r="1" spans="1:7" x14ac:dyDescent="0.75">
      <c r="A1" t="s">
        <v>12</v>
      </c>
      <c r="B1" t="s">
        <v>0</v>
      </c>
      <c r="C1" t="s">
        <v>1</v>
      </c>
      <c r="D1" t="s">
        <v>2</v>
      </c>
      <c r="E1" t="s">
        <v>11</v>
      </c>
      <c r="F1" t="s">
        <v>14</v>
      </c>
      <c r="G1" t="s">
        <v>10</v>
      </c>
    </row>
    <row r="2" spans="1:7" x14ac:dyDescent="0.75">
      <c r="A2" t="s">
        <v>4</v>
      </c>
      <c r="B2">
        <v>1000</v>
      </c>
      <c r="C2">
        <v>950</v>
      </c>
      <c r="D2">
        <v>50</v>
      </c>
      <c r="E2" s="2">
        <f>1-EXP(-(MortalityTable[[#This Row],[Dead Count]]/((MortalityTable[[#This Row],[Beginning Count]]+MortalityTable[[#This Row],[End Count]])/2)))</f>
        <v>4.9989318989731912E-2</v>
      </c>
      <c r="F2" s="2" cm="1">
        <f t="array" ref="F2">1-EXP(-SUMPRODUCT(-LN(1-INDEX(MortalityTable[Mortality Risk per Month],1):MortalityTable[[#This Row],[Mortality Risk per Month]])))</f>
        <v>4.9989318989731912E-2</v>
      </c>
      <c r="G2" t="s">
        <v>3</v>
      </c>
    </row>
    <row r="3" spans="1:7" x14ac:dyDescent="0.75">
      <c r="A3" t="s">
        <v>5</v>
      </c>
      <c r="B3">
        <v>1000</v>
      </c>
      <c r="C3">
        <v>950</v>
      </c>
      <c r="D3">
        <v>50</v>
      </c>
      <c r="E3" s="2">
        <f>1-EXP(-(MortalityTable[[#This Row],[Dead Count]]/((MortalityTable[[#This Row],[Beginning Count]]+MortalityTable[[#This Row],[End Count]])/2)))</f>
        <v>4.9989318989731912E-2</v>
      </c>
      <c r="F3" s="2" cm="1">
        <f t="array" ref="F3">1-EXP(-SUMPRODUCT(-LN(1-INDEX(MortalityTable[Mortality Risk per Month],1):MortalityTable[[#This Row],[Mortality Risk per Month]])))</f>
        <v>9.7479705966406649E-2</v>
      </c>
    </row>
    <row r="4" spans="1:7" x14ac:dyDescent="0.75">
      <c r="A4" t="s">
        <v>9</v>
      </c>
      <c r="B4">
        <v>1000</v>
      </c>
      <c r="C4">
        <v>950</v>
      </c>
      <c r="D4">
        <v>50</v>
      </c>
      <c r="E4" s="2">
        <f>1-EXP(-(MortalityTable[[#This Row],[Dead Count]]/((MortalityTable[[#This Row],[Beginning Count]]+MortalityTable[[#This Row],[End Count]])/2)))</f>
        <v>4.9989318989731912E-2</v>
      </c>
      <c r="F4" s="2" cm="1">
        <f t="array" ref="F4">1-EXP(-SUMPRODUCT(-LN(1-INDEX(MortalityTable[Mortality Risk per Month],1):MortalityTable[[#This Row],[Mortality Risk per Month]])))</f>
        <v>0.14259608083955855</v>
      </c>
    </row>
    <row r="5" spans="1:7" x14ac:dyDescent="0.75">
      <c r="A5" t="s">
        <v>6</v>
      </c>
      <c r="B5">
        <v>1000</v>
      </c>
      <c r="C5">
        <v>950</v>
      </c>
      <c r="D5">
        <v>50</v>
      </c>
      <c r="E5" s="2">
        <f>1-EXP(-(MortalityTable[[#This Row],[Dead Count]]/((MortalityTable[[#This Row],[Beginning Count]]+MortalityTable[[#This Row],[End Count]])/2)))</f>
        <v>4.9989318989731912E-2</v>
      </c>
      <c r="F5" s="2" cm="1">
        <f t="array" ref="F5">1-EXP(-SUMPRODUCT(-LN(1-INDEX(MortalityTable[Mortality Risk per Month],1):MortalityTable[[#This Row],[Mortality Risk per Month]])))</f>
        <v>0.18545711885751626</v>
      </c>
    </row>
    <row r="6" spans="1:7" x14ac:dyDescent="0.75">
      <c r="A6" t="s">
        <v>7</v>
      </c>
      <c r="B6">
        <v>1000</v>
      </c>
      <c r="C6">
        <v>950</v>
      </c>
      <c r="D6">
        <v>50</v>
      </c>
      <c r="E6" s="2">
        <f>1-EXP(-(MortalityTable[[#This Row],[Dead Count]]/((MortalityTable[[#This Row],[Beginning Count]]+MortalityTable[[#This Row],[End Count]])/2)))</f>
        <v>4.9989318989731912E-2</v>
      </c>
      <c r="F6" s="2" cm="1">
        <f t="array" ref="F6">1-EXP(-SUMPRODUCT(-LN(1-INDEX(MortalityTable[Mortality Risk per Month],1):MortalityTable[[#This Row],[Mortality Risk per Month]])))</f>
        <v>0.22617556277376316</v>
      </c>
    </row>
    <row r="7" spans="1:7" x14ac:dyDescent="0.75">
      <c r="A7" t="s">
        <v>8</v>
      </c>
      <c r="B7">
        <v>1000</v>
      </c>
      <c r="C7">
        <v>950</v>
      </c>
      <c r="D7">
        <v>50</v>
      </c>
      <c r="E7" s="2">
        <f>1-EXP(-(MortalityTable[[#This Row],[Dead Count]]/((MortalityTable[[#This Row],[Beginning Count]]+MortalityTable[[#This Row],[End Count]])/2)))</f>
        <v>4.9989318989731912E-2</v>
      </c>
      <c r="F7" s="2" cm="1">
        <f t="array" ref="F7">1-EXP(-SUMPRODUCT(-LN(1-INDEX(MortalityTable[Mortality Risk per Month],1):MortalityTable[[#This Row],[Mortality Risk per Month]])))</f>
        <v>0.26485851940831528</v>
      </c>
    </row>
    <row r="8" spans="1:7" x14ac:dyDescent="0.75">
      <c r="A8" t="s">
        <v>13</v>
      </c>
      <c r="B8">
        <v>1000</v>
      </c>
      <c r="C8">
        <v>950</v>
      </c>
      <c r="D8">
        <v>50</v>
      </c>
      <c r="E8" s="2">
        <f>1-EXP(-(MortalityTable[[#This Row],[Dead Count]]/((MortalityTable[[#This Row],[Beginning Count]]+MortalityTable[[#This Row],[End Count]])/2)))</f>
        <v>4.9989318989731912E-2</v>
      </c>
      <c r="F8" s="2" cm="1">
        <f t="array" ref="F8">1-EXP(-SUMPRODUCT(-LN(1-INDEX(MortalityTable[Mortality Risk per Month],1):MortalityTable[[#This Row],[Mortality Risk per Month]])))</f>
        <v>0.30160774138419677</v>
      </c>
    </row>
  </sheetData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MortalityData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Nakov, Novica</cp:lastModifiedBy>
  <dcterms:created xsi:type="dcterms:W3CDTF">2025-11-12T07:55:05Z</dcterms:created>
  <dcterms:modified xsi:type="dcterms:W3CDTF">2025-11-20T12:07:12Z</dcterms:modified>
</cp:coreProperties>
</file>